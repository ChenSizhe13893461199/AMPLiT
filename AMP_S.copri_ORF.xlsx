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陈思哲个人资料\Nature_Communications投稿\新建文件夹\brief communication\审稿意见回复\sample\"/>
    </mc:Choice>
  </mc:AlternateContent>
  <xr:revisionPtr revIDLastSave="0" documentId="13_ncr:1_{A2586681-83E8-45C7-B491-7EF1AEF1A2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D13" i="1"/>
  <c r="E10" i="1"/>
  <c r="D10" i="1"/>
  <c r="E6" i="1"/>
  <c r="D6" i="1"/>
  <c r="E5" i="1"/>
  <c r="D5" i="1"/>
  <c r="E4" i="1"/>
  <c r="D4" i="1"/>
  <c r="E2" i="1"/>
  <c r="D2" i="1"/>
</calcChain>
</file>

<file path=xl/sharedStrings.xml><?xml version="1.0" encoding="utf-8"?>
<sst xmlns="http://schemas.openxmlformats.org/spreadsheetml/2006/main" count="30" uniqueCount="30">
  <si>
    <t>ATGGCGATAAGGTCATTGACCATTCGCATCTATACACTGGCTACAAGGACTTGA</t>
  </si>
  <si>
    <t>AIRSLTIRIYTLATRT</t>
  </si>
  <si>
    <t>ATGAAACGGGTGAAGATAGAAAGGTGGCTACTCTGCCAGAGATAA</t>
  </si>
  <si>
    <t>KRVKIERWLLCQR</t>
  </si>
  <si>
    <t>ATGAAGTTGCGGGTCTGGTATTCTCGGCTGCGATATTCTCCATAG</t>
  </si>
  <si>
    <t>KLRVWYSRLRYSP</t>
  </si>
  <si>
    <t>ATGCATCCTTTACGGTTATCTCCGAGTCGGCATAAACATCGCAAAGACGTTCGTTGTTGA</t>
  </si>
  <si>
    <t>HPLRLSPSRHKHRKDVRC</t>
  </si>
  <si>
    <t>ATGCCTCTCAAGTATCCTAGCTCATACTACAGCCGCTGGCGTGGCCAGGTAGGTTTGAAGTATACATTCTAA</t>
  </si>
  <si>
    <t>PLKYPSSYYSRWRGQVGLKYTF</t>
  </si>
  <si>
    <t>ATGCCGGCAAGCGTGTGCAGACTGCCCTCATCGTTGAGAGTGGTGAGATTCGTGAGGTAA</t>
  </si>
  <si>
    <t>PASVCRLPSSLRVVRFVR</t>
  </si>
  <si>
    <t>ATGCCGAAATTGTCGGCACGGAGCTTAGTAAAAAGGTTGCGCTGA</t>
  </si>
  <si>
    <t>PKLSARSLVKRLR</t>
  </si>
  <si>
    <t>ORF</t>
  </si>
  <si>
    <t>AMP Sequence</t>
  </si>
  <si>
    <t>Length</t>
    <phoneticPr fontId="1" type="noConversion"/>
  </si>
  <si>
    <t>Charge</t>
    <phoneticPr fontId="1" type="noConversion"/>
  </si>
  <si>
    <t>ATGACAACGCTACCCCGGAATATAACATCAAGGCGCAGTTGCAGACCGTAG</t>
  </si>
  <si>
    <t>TTLPRNITSRRSCRP</t>
  </si>
  <si>
    <t>ATGAAGTCCACGAAATCACGTCTTGCGTCCTTGTTCAACTCTCGGTAG</t>
  </si>
  <si>
    <t>KSTKSRLASLFNSR</t>
  </si>
  <si>
    <t>ATGAAGGCAACCAACCCGCCGTCCCTTACCGTATCAAGAGCCTTGACAAAGAAGTAG</t>
  </si>
  <si>
    <t>KATNPPSLTVSRALTKK</t>
  </si>
  <si>
    <t>ATGGTTTGGGACCACTTGCTGGAGATTCTCCGCAGCGTGGCTAAATAA</t>
  </si>
  <si>
    <t>VWDHLLEILRSVAK</t>
  </si>
  <si>
    <t>ATGGTGCTCAAGAGTTATAAGAGAGCTTCTGGTAAGAAGTGGATTACTGAATAA</t>
  </si>
  <si>
    <t>VLKSYKRASGKKWITE</t>
  </si>
  <si>
    <t>ATGCCATACCGCCATCTTTCACGTTTGGACAAGAGATATTCAGCTCGATAG</t>
  </si>
  <si>
    <t>PYRHLSRLDKRYSAR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</si>
</sst>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/>
    <xf numFmtId="0" fontId="0" fillId="0" borderId="0" xfId="0" applyFill="1" applyAlignment="1">
      <alignment vertical="center"/>
    </xf>
    <xf numFmtId="0" fontId="0" fillId="0" borderId="0" xfId="0" applyFill="1"/>
    <xf numFmtId="0" fontId="2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22" sqref="D22"/>
    </sheetView>
  </sheetViews>
  <sheetFormatPr defaultRowHeight="14" x14ac:dyDescent="0.3"/>
  <cols>
    <col min="1" max="1" width="8.6640625" style="3"/>
    <col min="2" max="2" width="23.58203125" style="3" customWidth="1"/>
    <col min="3" max="3" width="18.25" style="3" customWidth="1"/>
    <col min="4" max="16384" width="8.6640625" style="3"/>
  </cols>
  <sheetData>
    <row r="1" spans="1:5" x14ac:dyDescent="0.3">
      <c r="A1" s="1"/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3">
      <c r="A2" s="1">
        <v>7</v>
      </c>
      <c r="B2" s="2" t="s">
        <v>18</v>
      </c>
      <c r="C2" s="2" t="s">
        <v>19</v>
      </c>
      <c r="D2" s="4">
        <f t="shared" ref="D2" si="0">LEN(C2)</f>
        <v>15</v>
      </c>
      <c r="E2" s="4">
        <f t="shared" ref="E2" si="1">SUM(LEN(C2) - LEN(SUBSTITUTE(C2, "K", "")), LEN(C2) - LEN(SUBSTITUTE(C2, "R", ""))) + 0.5 * (LEN(C2) - LEN(SUBSTITUTE(C2, "H", ""))) - (LEN(C2) - LEN(SUBSTITUTE(C2, "E", ""))) - (LEN(C2) - LEN(SUBSTITUTE(C2, "D", "")))</f>
        <v>4</v>
      </c>
    </row>
    <row r="3" spans="1:5" x14ac:dyDescent="0.3">
      <c r="A3" s="1">
        <v>8</v>
      </c>
      <c r="B3" s="2" t="s">
        <v>0</v>
      </c>
      <c r="C3" s="2" t="s">
        <v>1</v>
      </c>
      <c r="D3" s="4">
        <v>16</v>
      </c>
      <c r="E3" s="4">
        <v>3</v>
      </c>
    </row>
    <row r="4" spans="1:5" x14ac:dyDescent="0.3">
      <c r="A4" s="1">
        <v>9</v>
      </c>
      <c r="B4" s="2" t="s">
        <v>20</v>
      </c>
      <c r="C4" s="2" t="s">
        <v>21</v>
      </c>
      <c r="D4" s="4">
        <f t="shared" ref="D4:D6" si="2">LEN(C4)</f>
        <v>14</v>
      </c>
      <c r="E4" s="4">
        <f t="shared" ref="E4:E6" si="3">SUM(LEN(C4) - LEN(SUBSTITUTE(C4, "K", "")), LEN(C4) - LEN(SUBSTITUTE(C4, "R", ""))) + 0.5 * (LEN(C4) - LEN(SUBSTITUTE(C4, "H", ""))) - (LEN(C4) - LEN(SUBSTITUTE(C4, "E", ""))) - (LEN(C4) - LEN(SUBSTITUTE(C4, "D", "")))</f>
        <v>4</v>
      </c>
    </row>
    <row r="5" spans="1:5" x14ac:dyDescent="0.3">
      <c r="A5" s="1">
        <v>10</v>
      </c>
      <c r="B5" s="2" t="s">
        <v>22</v>
      </c>
      <c r="C5" s="2" t="s">
        <v>23</v>
      </c>
      <c r="D5" s="4">
        <f t="shared" si="2"/>
        <v>17</v>
      </c>
      <c r="E5" s="4">
        <f t="shared" si="3"/>
        <v>4</v>
      </c>
    </row>
    <row r="6" spans="1:5" x14ac:dyDescent="0.3">
      <c r="A6" s="1">
        <v>12</v>
      </c>
      <c r="B6" s="2" t="s">
        <v>24</v>
      </c>
      <c r="C6" s="2" t="s">
        <v>25</v>
      </c>
      <c r="D6" s="4">
        <f t="shared" si="2"/>
        <v>14</v>
      </c>
      <c r="E6" s="4">
        <f t="shared" si="3"/>
        <v>0.5</v>
      </c>
    </row>
    <row r="7" spans="1:5" x14ac:dyDescent="0.3">
      <c r="A7" s="1">
        <v>13</v>
      </c>
      <c r="B7" s="2" t="s">
        <v>2</v>
      </c>
      <c r="C7" s="2" t="s">
        <v>3</v>
      </c>
      <c r="D7" s="4">
        <v>13</v>
      </c>
      <c r="E7" s="4">
        <v>4</v>
      </c>
    </row>
    <row r="8" spans="1:5" x14ac:dyDescent="0.3">
      <c r="A8" s="1">
        <v>24</v>
      </c>
      <c r="B8" s="2" t="s">
        <v>4</v>
      </c>
      <c r="C8" s="2" t="s">
        <v>5</v>
      </c>
      <c r="D8" s="4">
        <v>13</v>
      </c>
      <c r="E8" s="4">
        <v>4</v>
      </c>
    </row>
    <row r="9" spans="1:5" x14ac:dyDescent="0.3">
      <c r="A9" s="1">
        <v>28</v>
      </c>
      <c r="B9" s="2" t="s">
        <v>6</v>
      </c>
      <c r="C9" s="2" t="s">
        <v>7</v>
      </c>
      <c r="D9" s="4">
        <v>18</v>
      </c>
      <c r="E9" s="4">
        <v>6.5</v>
      </c>
    </row>
    <row r="10" spans="1:5" x14ac:dyDescent="0.3">
      <c r="A10" s="1">
        <v>29</v>
      </c>
      <c r="B10" s="2" t="s">
        <v>26</v>
      </c>
      <c r="C10" s="2" t="s">
        <v>27</v>
      </c>
      <c r="D10" s="4">
        <f t="shared" ref="D10" si="4">LEN(C10)</f>
        <v>16</v>
      </c>
      <c r="E10" s="4">
        <f t="shared" ref="E10" si="5">SUM(LEN(C10) - LEN(SUBSTITUTE(C10, "K", "")), LEN(C10) - LEN(SUBSTITUTE(C10, "R", ""))) + 0.5 * (LEN(C10) - LEN(SUBSTITUTE(C10, "H", ""))) - (LEN(C10) - LEN(SUBSTITUTE(C10, "E", ""))) - (LEN(C10) - LEN(SUBSTITUTE(C10, "D", "")))</f>
        <v>4</v>
      </c>
    </row>
    <row r="11" spans="1:5" x14ac:dyDescent="0.3">
      <c r="A11" s="1">
        <v>30</v>
      </c>
      <c r="B11" s="2" t="s">
        <v>8</v>
      </c>
      <c r="C11" s="2" t="s">
        <v>9</v>
      </c>
      <c r="D11" s="4">
        <v>22</v>
      </c>
      <c r="E11" s="4">
        <v>4</v>
      </c>
    </row>
    <row r="12" spans="1:5" x14ac:dyDescent="0.3">
      <c r="A12" s="1">
        <v>31</v>
      </c>
      <c r="B12" s="2" t="s">
        <v>10</v>
      </c>
      <c r="C12" s="2" t="s">
        <v>11</v>
      </c>
      <c r="D12" s="4">
        <v>18</v>
      </c>
      <c r="E12" s="4">
        <v>4</v>
      </c>
    </row>
    <row r="13" spans="1:5" x14ac:dyDescent="0.3">
      <c r="A13" s="1">
        <v>33</v>
      </c>
      <c r="B13" s="2" t="s">
        <v>28</v>
      </c>
      <c r="C13" s="2" t="s">
        <v>29</v>
      </c>
      <c r="D13" s="4">
        <f t="shared" ref="D13" si="6">LEN(C13)</f>
        <v>15</v>
      </c>
      <c r="E13" s="4">
        <f t="shared" ref="E13" si="7">SUM(LEN(C13) - LEN(SUBSTITUTE(C13, "K", "")), LEN(C13) - LEN(SUBSTITUTE(C13, "R", ""))) + 0.5 * (LEN(C13) - LEN(SUBSTITUTE(C13, "H", ""))) - (LEN(C13) - LEN(SUBSTITUTE(C13, "E", ""))) - (LEN(C13) - LEN(SUBSTITUTE(C13, "D", "")))</f>
        <v>4.5</v>
      </c>
    </row>
    <row r="14" spans="1:5" x14ac:dyDescent="0.3">
      <c r="A14" s="1">
        <v>38</v>
      </c>
      <c r="B14" s="2" t="s">
        <v>12</v>
      </c>
      <c r="C14" s="2" t="s">
        <v>13</v>
      </c>
      <c r="D14" s="4">
        <v>13</v>
      </c>
      <c r="E14" s="4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Sizhe CHEN</dc:creator>
  <cp:lastModifiedBy>思哲 陈</cp:lastModifiedBy>
  <dcterms:created xsi:type="dcterms:W3CDTF">2015-06-05T18:19:34Z</dcterms:created>
  <dcterms:modified xsi:type="dcterms:W3CDTF">2025-08-28T10:34:21Z</dcterms:modified>
</cp:coreProperties>
</file>